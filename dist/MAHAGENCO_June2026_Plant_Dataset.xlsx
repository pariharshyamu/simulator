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Performance" sheetId="2" state="visible" r:id="rId4"/>
    <sheet name="Decomposition" sheetId="3" state="visible" r:id="rId5"/>
    <sheet name="Fuel economics" sheetId="4" state="visible" r:id="rId6"/>
    <sheet name="Value at stake" sheetId="5" state="visible" r:id="rId7"/>
  </sheets>
  <definedNames>
    <definedName function="false" hidden="true" localSheetId="2" name="_xlnm._FilterDatabase" vbProcedure="false">Decomposition!$A$1:$I$14</definedName>
    <definedName function="false" hidden="true" localSheetId="3" name="_xlnm._FilterDatabase" vbProcedure="false">'Fuel economics'!$A$1:$J$14</definedName>
    <definedName function="false" hidden="true" localSheetId="1" name="_xlnm._FilterDatabase" vbProcedure="false">Performance!$A$1:$M$14</definedName>
    <definedName function="false" hidden="true" localSheetId="4" name="_xlnm._FilterDatabase" vbProcedure="false">'Value at stake'!$A$1:$F$14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<sst xmlns="http://schemas.openxmlformats.org/spreadsheetml/2006/main" count="129" uniqueCount="76">
  <si>
    <t xml:space="preserve">MAHAGENCO June 2026 — plant performance dataset</t>
  </si>
  <si>
    <t xml:space="preserve">Source</t>
  </si>
  <si>
    <t xml:space="preserve">MAHAGENCO Regulatory &amp; Commercial Dept — June 2026 energy bill (Bill 001/2026 &amp; 35/2026), Provisional Part-I FSA bill 43/2026 with F10 ECR calculation, and MERC MOD stack for July-2026 (R0) effective 16.07.2026–15.08.2026</t>
  </si>
  <si>
    <t xml:space="preserve">Purpose</t>
  </si>
  <si>
    <t xml:space="preserve">Companion dataset for the AI in Power Plants course. Every figure in the slides, the handout and the simulation lab traces to this workbook.</t>
  </si>
  <si>
    <t xml:space="preserve">Key identity</t>
  </si>
  <si>
    <t xml:space="preserve">Generated (gross) heat rate = net heat rate x (1 - auxiliary fraction). Decomposing the net gap this way separates a boiler and turbine problem from an auxiliary power problem.</t>
  </si>
  <si>
    <t xml:space="preserve">Cost of heat</t>
  </si>
  <si>
    <t xml:space="preserve">Each station’s MERC merit-order variable charge divided by its own actual net heat rate. Station-specific, not an assumption.</t>
  </si>
  <si>
    <t xml:space="preserve">CAUTION</t>
  </si>
  <si>
    <t xml:space="preserve">Do NOT add the net heat-rate gap and the auxiliary gap together. Net heat rate already contains auxiliary power — the auxiliary figure is a COMPONENT of the heat-rate figure. Adding them double-counts about Rs 33 crore.</t>
  </si>
  <si>
    <t xml:space="preserve">Total thermal sent out</t>
  </si>
  <si>
    <t xml:space="preserve">4,588.47 MU (June 2026)</t>
  </si>
  <si>
    <t xml:space="preserve">Net bill</t>
  </si>
  <si>
    <t xml:space="preserve">Rs 2,806.55 crore</t>
  </si>
  <si>
    <t xml:space="preserve">Net heat-rate gap</t>
  </si>
  <si>
    <t xml:space="preserve">Rs 56.35 crore in June 2026 alone</t>
  </si>
  <si>
    <t xml:space="preserve">Auxiliary above norm</t>
  </si>
  <si>
    <t xml:space="preserve">81.5 MU, Rs 32.91 crore — a component of the above</t>
  </si>
  <si>
    <t xml:space="preserve">AFC disallowance</t>
  </si>
  <si>
    <t xml:space="preserve">Rs 100.87 crore cumulative; Rs 32.93 crore adjusted in the June bill</t>
  </si>
  <si>
    <t xml:space="preserve">June FSA</t>
  </si>
  <si>
    <t xml:space="preserve">minus Rs 101.44 crore (withdrawal)</t>
  </si>
  <si>
    <t xml:space="preserve">Limitations</t>
  </si>
  <si>
    <t xml:space="preserve">One month is not a trend and June is a low-demand-season month. Normative values are regulatory constructs, not thermodynamic optima. The filing does not separate planned overhaul from forced outage. Heat rate is a monthly average across a group of units. Auxiliary consumption is structurally higher at low PLF.</t>
  </si>
  <si>
    <t xml:space="preserve">Station</t>
  </si>
  <si>
    <t xml:space="preserve">Unit MW</t>
  </si>
  <si>
    <t xml:space="preserve">Station MW</t>
  </si>
  <si>
    <t xml:space="preserve">Availability %</t>
  </si>
  <si>
    <t xml:space="preserve">PLF %</t>
  </si>
  <si>
    <t xml:space="preserve">Gross gen MU</t>
  </si>
  <si>
    <t xml:space="preserve">Net gen MU</t>
  </si>
  <si>
    <t xml:space="preserve">Net HR actual</t>
  </si>
  <si>
    <t xml:space="preserve">Net HR norm</t>
  </si>
  <si>
    <t xml:space="preserve">Net HR gap</t>
  </si>
  <si>
    <t xml:space="preserve">Aux actual %</t>
  </si>
  <si>
    <t xml:space="preserve">Aux norm %</t>
  </si>
  <si>
    <t xml:space="preserve">Aux gap pp</t>
  </si>
  <si>
    <t xml:space="preserve">Bhusawal Unit 3</t>
  </si>
  <si>
    <t xml:space="preserve">Bhusawal Units 4-5</t>
  </si>
  <si>
    <t xml:space="preserve">Bhusawal Unit 6</t>
  </si>
  <si>
    <t xml:space="preserve">Khaperkheda Units 1-4</t>
  </si>
  <si>
    <t xml:space="preserve">Khaperkheda Unit 5</t>
  </si>
  <si>
    <t xml:space="preserve">Nashik Units 3-5</t>
  </si>
  <si>
    <t xml:space="preserve">Chandrapur Units 3-7</t>
  </si>
  <si>
    <t xml:space="preserve">Chandrapur Units 8-9</t>
  </si>
  <si>
    <t xml:space="preserve">Paras Units 3-4</t>
  </si>
  <si>
    <t xml:space="preserve">Parli Units 6-7</t>
  </si>
  <si>
    <t xml:space="preserve">Parli Unit 8</t>
  </si>
  <si>
    <t xml:space="preserve">Koradi Unit 6</t>
  </si>
  <si>
    <t xml:space="preserve">Koradi Units 8-10</t>
  </si>
  <si>
    <t xml:space="preserve">Gross HR actual</t>
  </si>
  <si>
    <t xml:space="preserve">Gross HR norm</t>
  </si>
  <si>
    <t xml:space="preserve">Gross HR gap</t>
  </si>
  <si>
    <t xml:space="preserve">Aux component kcal/kWh</t>
  </si>
  <si>
    <t xml:space="preserve">Boiler+turbine kcal/kWh</t>
  </si>
  <si>
    <t xml:space="preserve">Aux share of gap %</t>
  </si>
  <si>
    <t xml:space="preserve">Diagnosis</t>
  </si>
  <si>
    <t xml:space="preserve">Auxiliary power is essentially the whole problem</t>
  </si>
  <si>
    <t xml:space="preserve">Both</t>
  </si>
  <si>
    <t xml:space="preserve">Mostly boiler and turbine</t>
  </si>
  <si>
    <t xml:space="preserve">MOD VC Jul-26 Rs/kWh</t>
  </si>
  <si>
    <t xml:space="preserve">Bill rate Jun-26 Rs/kWh</t>
  </si>
  <si>
    <t xml:space="preserve">As-fired GCV kcal/kg</t>
  </si>
  <si>
    <t xml:space="preserve">Cost of heat Rs/kcal</t>
  </si>
  <si>
    <t xml:space="preserve">Implied as-fired coal Rs/t</t>
  </si>
  <si>
    <t xml:space="preserve">Sec. fuel oil ml/kWh</t>
  </si>
  <si>
    <t xml:space="preserve">Norm ml/kWh</t>
  </si>
  <si>
    <t xml:space="preserve">Transit loss %</t>
  </si>
  <si>
    <t xml:space="preserve">Norm %</t>
  </si>
  <si>
    <t xml:space="preserve">Net HR gap Rs cr/mth</t>
  </si>
  <si>
    <t xml:space="preserve">Aux excess MU/mth</t>
  </si>
  <si>
    <t xml:space="preserve">Aux excess Rs cr/mth</t>
  </si>
  <si>
    <t xml:space="preserve">AFC disallowance Rs cr</t>
  </si>
  <si>
    <t xml:space="preserve">Annualised HR gap Rs cr</t>
  </si>
  <si>
    <t xml:space="preserve">TOTAL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</si>
</sst>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#,##0"/>
    <numFmt numFmtId="167" formatCode="0.0000"/>
    <numFmt numFmtId="168" formatCode="0.000"/>
    <numFmt numFmtId="169" formatCode="0.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C2530"/>
      <name val="Arial"/>
      <family val="0"/>
      <charset val="1"/>
    </font>
    <font>
      <b val="true"/>
      <sz val="10"/>
      <name val="Arial"/>
      <family val="0"/>
      <charset val="1"/>
    </font>
    <font>
      <sz val="9.5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A3644"/>
        <bgColor rgb="FF1C253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4DE"/>
      </left>
      <right style="thin">
        <color rgb="FFC9D4DE"/>
      </right>
      <top style="thin">
        <color rgb="FFC9D4DE"/>
      </top>
      <bottom style="thin">
        <color rgb="FFC9D4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A36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4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C2530"/>
      <rgbColor rgb="FF993300"/>
      <rgbColor rgb="FF993366"/>
      <rgbColor rgb="FF333399"/>
      <rgbColor rgb="FF2A36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5"/>
  </cols>
  <sheetData>
    <row r="1" customFormat="false" ht="18.55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/>
      <c r="B4" s="3"/>
    </row>
    <row r="5" customFormat="false" ht="23.85" hidden="false" customHeight="false" outlineLevel="0" collapsed="false">
      <c r="A5" s="2" t="s">
        <v>3</v>
      </c>
      <c r="B5" s="3" t="s">
        <v>4</v>
      </c>
    </row>
    <row r="6" customFormat="false" ht="23.85" hidden="false" customHeight="false" outlineLevel="0" collapsed="false">
      <c r="A6" s="2" t="s">
        <v>5</v>
      </c>
      <c r="B6" s="3" t="s">
        <v>6</v>
      </c>
    </row>
    <row r="7" customFormat="false" ht="15" hidden="false" customHeight="false" outlineLevel="0" collapsed="false">
      <c r="A7" s="2" t="s">
        <v>7</v>
      </c>
      <c r="B7" s="3" t="s">
        <v>8</v>
      </c>
    </row>
    <row r="8" customFormat="false" ht="15" hidden="false" customHeight="false" outlineLevel="0" collapsed="false">
      <c r="A8" s="2"/>
      <c r="B8" s="3"/>
    </row>
    <row r="9" customFormat="false" ht="23.85" hidden="false" customHeight="false" outlineLevel="0" collapsed="false">
      <c r="A9" s="2" t="s">
        <v>9</v>
      </c>
      <c r="B9" s="3" t="s">
        <v>10</v>
      </c>
    </row>
    <row r="10" customFormat="false" ht="15" hidden="false" customHeight="false" outlineLevel="0" collapsed="false">
      <c r="A10" s="2"/>
      <c r="B10" s="3"/>
    </row>
    <row r="11" customFormat="false" ht="15" hidden="false" customHeight="false" outlineLevel="0" collapsed="false">
      <c r="A11" s="2" t="s">
        <v>11</v>
      </c>
      <c r="B11" s="3" t="s">
        <v>12</v>
      </c>
    </row>
    <row r="12" customFormat="false" ht="15" hidden="false" customHeight="false" outlineLevel="0" collapsed="false">
      <c r="A12" s="2" t="s">
        <v>13</v>
      </c>
      <c r="B12" s="3" t="s">
        <v>14</v>
      </c>
    </row>
    <row r="13" customFormat="false" ht="15" hidden="false" customHeight="false" outlineLevel="0" collapsed="false">
      <c r="A13" s="2" t="s">
        <v>15</v>
      </c>
      <c r="B13" s="3" t="s">
        <v>16</v>
      </c>
    </row>
    <row r="14" customFormat="false" ht="15" hidden="false" customHeight="false" outlineLevel="0" collapsed="false">
      <c r="A14" s="2" t="s">
        <v>17</v>
      </c>
      <c r="B14" s="3" t="s">
        <v>18</v>
      </c>
    </row>
    <row r="15" customFormat="false" ht="15" hidden="false" customHeight="false" outlineLevel="0" collapsed="false">
      <c r="A15" s="2" t="s">
        <v>19</v>
      </c>
      <c r="B15" s="3" t="s">
        <v>20</v>
      </c>
    </row>
    <row r="16" customFormat="false" ht="15" hidden="false" customHeight="false" outlineLevel="0" collapsed="false">
      <c r="A16" s="2" t="s">
        <v>21</v>
      </c>
      <c r="B16" s="3" t="s">
        <v>22</v>
      </c>
    </row>
    <row r="17" customFormat="false" ht="15" hidden="false" customHeight="false" outlineLevel="0" collapsed="false">
      <c r="A17" s="2"/>
      <c r="B17" s="3"/>
    </row>
    <row r="18" customFormat="false" ht="35.05" hidden="false" customHeight="false" outlineLevel="0" collapsed="false">
      <c r="A18" s="2" t="s">
        <v>23</v>
      </c>
      <c r="B18" s="3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7" min="6" style="0" width="12"/>
    <col collapsed="false" customWidth="true" hidden="false" outlineLevel="0" max="11" min="8" style="0" width="11"/>
    <col collapsed="false" customWidth="true" hidden="false" outlineLevel="0" max="13" min="12" style="0" width="10"/>
  </cols>
  <sheetData>
    <row r="1" customFormat="false" ht="33.75" hidden="false" customHeight="true" outlineLevel="0" collapsed="false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customFormat="false" ht="15" hidden="false" customHeight="false" outlineLevel="0" collapsed="false">
      <c r="A2" s="5" t="s">
        <v>38</v>
      </c>
      <c r="B2" s="5" t="n">
        <v>210</v>
      </c>
      <c r="C2" s="5" t="n">
        <v>210</v>
      </c>
      <c r="D2" s="6" t="n">
        <v>88.91</v>
      </c>
      <c r="E2" s="6" t="n">
        <v>64.4</v>
      </c>
      <c r="F2" s="6" t="n">
        <v>101.5</v>
      </c>
      <c r="G2" s="6" t="n">
        <v>88.6</v>
      </c>
      <c r="H2" s="7" t="n">
        <v>2847.53</v>
      </c>
      <c r="I2" s="7" t="n">
        <v>2787</v>
      </c>
      <c r="J2" s="6" t="n">
        <v>60.5300000000002</v>
      </c>
      <c r="K2" s="6" t="n">
        <v>12.71</v>
      </c>
      <c r="L2" s="6" t="n">
        <v>10.96</v>
      </c>
      <c r="M2" s="6" t="n">
        <v>1.75</v>
      </c>
    </row>
    <row r="3" customFormat="false" ht="15" hidden="false" customHeight="false" outlineLevel="0" collapsed="false">
      <c r="A3" s="5" t="s">
        <v>39</v>
      </c>
      <c r="B3" s="5" t="n">
        <v>500</v>
      </c>
      <c r="C3" s="5" t="n">
        <v>1000</v>
      </c>
      <c r="D3" s="6" t="n">
        <v>90.19</v>
      </c>
      <c r="E3" s="6" t="n">
        <v>76.05</v>
      </c>
      <c r="F3" s="6" t="n">
        <v>551.63</v>
      </c>
      <c r="G3" s="6" t="n">
        <v>512.71</v>
      </c>
      <c r="H3" s="7" t="n">
        <v>2432.68</v>
      </c>
      <c r="I3" s="7" t="n">
        <v>2375</v>
      </c>
      <c r="J3" s="6" t="n">
        <v>57.6799999999998</v>
      </c>
      <c r="K3" s="6" t="n">
        <v>7.06</v>
      </c>
      <c r="L3" s="6" t="n">
        <v>6</v>
      </c>
      <c r="M3" s="6" t="n">
        <v>1.06</v>
      </c>
    </row>
    <row r="4" customFormat="false" ht="15" hidden="false" customHeight="false" outlineLevel="0" collapsed="false">
      <c r="A4" s="5" t="s">
        <v>40</v>
      </c>
      <c r="B4" s="5" t="n">
        <v>660</v>
      </c>
      <c r="C4" s="5" t="n">
        <v>660</v>
      </c>
      <c r="D4" s="6" t="n">
        <v>79.01</v>
      </c>
      <c r="E4" s="6" t="n">
        <v>70.37</v>
      </c>
      <c r="F4" s="6" t="n">
        <v>335.13</v>
      </c>
      <c r="G4" s="6" t="n">
        <v>312.74</v>
      </c>
      <c r="H4" s="7" t="n">
        <v>2183.13</v>
      </c>
      <c r="I4" s="7" t="n">
        <v>2139.05</v>
      </c>
      <c r="J4" s="6" t="n">
        <v>44.0799999999999</v>
      </c>
      <c r="K4" s="6" t="n">
        <v>6.68</v>
      </c>
      <c r="L4" s="6" t="n">
        <v>5.75</v>
      </c>
      <c r="M4" s="6" t="n">
        <v>0.93</v>
      </c>
    </row>
    <row r="5" customFormat="false" ht="15" hidden="false" customHeight="false" outlineLevel="0" collapsed="false">
      <c r="A5" s="5" t="s">
        <v>41</v>
      </c>
      <c r="B5" s="5" t="n">
        <v>210</v>
      </c>
      <c r="C5" s="5" t="n">
        <v>840</v>
      </c>
      <c r="D5" s="6" t="n">
        <v>57.85</v>
      </c>
      <c r="E5" s="6" t="n">
        <v>54.55</v>
      </c>
      <c r="F5" s="6" t="n">
        <v>342.19</v>
      </c>
      <c r="G5" s="6" t="n">
        <v>299.57</v>
      </c>
      <c r="H5" s="7" t="n">
        <v>2714.99</v>
      </c>
      <c r="I5" s="7" t="n">
        <v>2630</v>
      </c>
      <c r="J5" s="6" t="n">
        <v>84.9899999999998</v>
      </c>
      <c r="K5" s="6" t="n">
        <v>12.44</v>
      </c>
      <c r="L5" s="6" t="n">
        <v>9.7</v>
      </c>
      <c r="M5" s="6" t="n">
        <v>2.74</v>
      </c>
    </row>
    <row r="6" customFormat="false" ht="15" hidden="false" customHeight="false" outlineLevel="0" collapsed="false">
      <c r="A6" s="5" t="s">
        <v>42</v>
      </c>
      <c r="B6" s="5" t="n">
        <v>500</v>
      </c>
      <c r="C6" s="5" t="n">
        <v>500</v>
      </c>
      <c r="D6" s="6" t="n">
        <v>87.86</v>
      </c>
      <c r="E6" s="6" t="n">
        <v>82.03</v>
      </c>
      <c r="F6" s="6" t="n">
        <v>299.05</v>
      </c>
      <c r="G6" s="6" t="n">
        <v>279.4</v>
      </c>
      <c r="H6" s="7" t="n">
        <v>2384.59</v>
      </c>
      <c r="I6" s="7" t="n">
        <v>2375</v>
      </c>
      <c r="J6" s="6" t="n">
        <v>9.59000000000015</v>
      </c>
      <c r="K6" s="6" t="n">
        <v>6.57</v>
      </c>
      <c r="L6" s="6" t="n">
        <v>6</v>
      </c>
      <c r="M6" s="6" t="n">
        <v>0.57</v>
      </c>
    </row>
    <row r="7" customFormat="false" ht="15" hidden="false" customHeight="false" outlineLevel="0" collapsed="false">
      <c r="A7" s="5" t="s">
        <v>43</v>
      </c>
      <c r="B7" s="5" t="n">
        <v>210</v>
      </c>
      <c r="C7" s="5" t="n">
        <v>630</v>
      </c>
      <c r="D7" s="6" t="n">
        <v>94.62</v>
      </c>
      <c r="E7" s="6" t="n">
        <v>58.4</v>
      </c>
      <c r="F7" s="6" t="n">
        <v>264.91</v>
      </c>
      <c r="G7" s="6" t="n">
        <v>230.57</v>
      </c>
      <c r="H7" s="7" t="n">
        <v>2803.8</v>
      </c>
      <c r="I7" s="7" t="n">
        <v>2754</v>
      </c>
      <c r="J7" s="6" t="n">
        <v>49.8000000000002</v>
      </c>
      <c r="K7" s="6" t="n">
        <v>12.96</v>
      </c>
      <c r="L7" s="6" t="n">
        <v>10.75</v>
      </c>
      <c r="M7" s="6" t="n">
        <v>2.21</v>
      </c>
    </row>
    <row r="8" customFormat="false" ht="15" hidden="false" customHeight="false" outlineLevel="0" collapsed="false">
      <c r="A8" s="5" t="s">
        <v>44</v>
      </c>
      <c r="B8" s="5" t="n">
        <v>500</v>
      </c>
      <c r="C8" s="5" t="n">
        <v>1920</v>
      </c>
      <c r="D8" s="6" t="n">
        <v>64.88</v>
      </c>
      <c r="E8" s="6" t="n">
        <v>53.56</v>
      </c>
      <c r="F8" s="6" t="n">
        <v>762.5</v>
      </c>
      <c r="G8" s="6" t="n">
        <v>673.36</v>
      </c>
      <c r="H8" s="7" t="n">
        <v>2709.3</v>
      </c>
      <c r="I8" s="7" t="n">
        <v>2688</v>
      </c>
      <c r="J8" s="6" t="n">
        <v>21.3000000000002</v>
      </c>
      <c r="K8" s="6" t="n">
        <v>11.69</v>
      </c>
      <c r="L8" s="6" t="n">
        <v>8.67</v>
      </c>
      <c r="M8" s="6" t="n">
        <v>3.02</v>
      </c>
    </row>
    <row r="9" customFormat="false" ht="15" hidden="false" customHeight="false" outlineLevel="0" collapsed="false">
      <c r="A9" s="5" t="s">
        <v>45</v>
      </c>
      <c r="B9" s="5" t="n">
        <v>500</v>
      </c>
      <c r="C9" s="5" t="n">
        <v>1000</v>
      </c>
      <c r="D9" s="6" t="n">
        <v>74.87</v>
      </c>
      <c r="E9" s="6" t="n">
        <v>66.68</v>
      </c>
      <c r="F9" s="6" t="n">
        <v>486.89</v>
      </c>
      <c r="G9" s="6" t="n">
        <v>453.31</v>
      </c>
      <c r="H9" s="7" t="n">
        <v>2425.27</v>
      </c>
      <c r="I9" s="7" t="n">
        <v>2375</v>
      </c>
      <c r="J9" s="6" t="n">
        <v>50.27</v>
      </c>
      <c r="K9" s="6" t="n">
        <v>6.9</v>
      </c>
      <c r="L9" s="6" t="n">
        <v>6</v>
      </c>
      <c r="M9" s="6" t="n">
        <v>0.9</v>
      </c>
    </row>
    <row r="10" customFormat="false" ht="15" hidden="false" customHeight="false" outlineLevel="0" collapsed="false">
      <c r="A10" s="5" t="s">
        <v>46</v>
      </c>
      <c r="B10" s="5" t="n">
        <v>250</v>
      </c>
      <c r="C10" s="5" t="n">
        <v>500</v>
      </c>
      <c r="D10" s="6" t="n">
        <v>74.83</v>
      </c>
      <c r="E10" s="6" t="n">
        <v>66.92</v>
      </c>
      <c r="F10" s="6" t="n">
        <v>245.15</v>
      </c>
      <c r="G10" s="6" t="n">
        <v>216.73</v>
      </c>
      <c r="H10" s="7" t="n">
        <v>2578.17</v>
      </c>
      <c r="I10" s="7" t="n">
        <v>2415</v>
      </c>
      <c r="J10" s="6" t="n">
        <v>163.17</v>
      </c>
      <c r="K10" s="6" t="n">
        <v>11.59</v>
      </c>
      <c r="L10" s="6" t="n">
        <v>9.3</v>
      </c>
      <c r="M10" s="6" t="n">
        <v>2.29</v>
      </c>
    </row>
    <row r="11" customFormat="false" ht="15" hidden="false" customHeight="false" outlineLevel="0" collapsed="false">
      <c r="A11" s="5" t="s">
        <v>47</v>
      </c>
      <c r="B11" s="5" t="n">
        <v>250</v>
      </c>
      <c r="C11" s="5" t="n">
        <v>500</v>
      </c>
      <c r="D11" s="6" t="n">
        <v>82.34</v>
      </c>
      <c r="E11" s="6" t="n">
        <v>68.35</v>
      </c>
      <c r="F11" s="6" t="n">
        <v>252.68</v>
      </c>
      <c r="G11" s="6" t="n">
        <v>221.32</v>
      </c>
      <c r="H11" s="7" t="n">
        <v>2511.04</v>
      </c>
      <c r="I11" s="7" t="n">
        <v>2415</v>
      </c>
      <c r="J11" s="6" t="n">
        <v>96.04</v>
      </c>
      <c r="K11" s="6" t="n">
        <v>12.41</v>
      </c>
      <c r="L11" s="6" t="n">
        <v>9.3</v>
      </c>
      <c r="M11" s="6" t="n">
        <v>3.11</v>
      </c>
    </row>
    <row r="12" customFormat="false" ht="15" hidden="false" customHeight="false" outlineLevel="0" collapsed="false">
      <c r="A12" s="5" t="s">
        <v>48</v>
      </c>
      <c r="B12" s="5" t="n">
        <v>250</v>
      </c>
      <c r="C12" s="5" t="n">
        <v>250</v>
      </c>
      <c r="D12" s="6" t="n">
        <v>97.4</v>
      </c>
      <c r="E12" s="6" t="n">
        <v>79.55</v>
      </c>
      <c r="F12" s="6" t="n">
        <v>145.56</v>
      </c>
      <c r="G12" s="6" t="n">
        <v>129.92</v>
      </c>
      <c r="H12" s="7" t="n">
        <v>2461.42</v>
      </c>
      <c r="I12" s="7" t="n">
        <v>2415</v>
      </c>
      <c r="J12" s="6" t="n">
        <v>46.4200000000001</v>
      </c>
      <c r="K12" s="6" t="n">
        <v>10.74</v>
      </c>
      <c r="L12" s="6" t="n">
        <v>8.5</v>
      </c>
      <c r="M12" s="6" t="n">
        <v>2.24</v>
      </c>
    </row>
    <row r="13" customFormat="false" ht="15" hidden="false" customHeight="false" outlineLevel="0" collapsed="false">
      <c r="A13" s="5" t="s">
        <v>49</v>
      </c>
      <c r="B13" s="5" t="n">
        <v>210</v>
      </c>
      <c r="C13" s="5" t="n">
        <v>210</v>
      </c>
      <c r="D13" s="6" t="n">
        <v>75.46</v>
      </c>
      <c r="E13" s="6" t="n">
        <v>65.16</v>
      </c>
      <c r="F13" s="6" t="n">
        <v>98.06</v>
      </c>
      <c r="G13" s="6" t="n">
        <v>86.88</v>
      </c>
      <c r="H13" s="7" t="n">
        <v>2534.3</v>
      </c>
      <c r="I13" s="7" t="n">
        <v>2455.75</v>
      </c>
      <c r="J13" s="6" t="n">
        <v>78.5500000000002</v>
      </c>
      <c r="K13" s="6" t="n">
        <v>11.37</v>
      </c>
      <c r="L13" s="6" t="n">
        <v>10.81</v>
      </c>
      <c r="M13" s="6" t="n">
        <v>0.559999999999999</v>
      </c>
    </row>
    <row r="14" customFormat="false" ht="15" hidden="false" customHeight="false" outlineLevel="0" collapsed="false">
      <c r="A14" s="5" t="s">
        <v>50</v>
      </c>
      <c r="B14" s="5" t="n">
        <v>660</v>
      </c>
      <c r="C14" s="5" t="n">
        <v>1980</v>
      </c>
      <c r="D14" s="6" t="n">
        <v>72.5</v>
      </c>
      <c r="E14" s="6" t="n">
        <v>66.62</v>
      </c>
      <c r="F14" s="6" t="n">
        <v>964.8</v>
      </c>
      <c r="G14" s="6" t="n">
        <v>897.75</v>
      </c>
      <c r="H14" s="7" t="n">
        <v>2442.18</v>
      </c>
      <c r="I14" s="7" t="n">
        <v>2230</v>
      </c>
      <c r="J14" s="6" t="n">
        <v>212.18</v>
      </c>
      <c r="K14" s="6" t="n">
        <v>6.95</v>
      </c>
      <c r="L14" s="6" t="n">
        <v>6</v>
      </c>
      <c r="M14" s="6" t="n">
        <v>0.95</v>
      </c>
    </row>
  </sheetData>
  <autoFilter ref="A1:M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7" min="6" style="0" width="17"/>
    <col collapsed="false" customWidth="true" hidden="false" outlineLevel="0" max="8" min="8" style="0" width="14"/>
    <col collapsed="false" customWidth="true" hidden="false" outlineLevel="0" max="9" min="9" style="0" width="42"/>
  </cols>
  <sheetData>
    <row r="1" customFormat="false" ht="33.75" hidden="false" customHeight="true" outlineLevel="0" collapsed="false">
      <c r="A1" s="4" t="s">
        <v>25</v>
      </c>
      <c r="B1" s="4" t="s">
        <v>34</v>
      </c>
      <c r="C1" s="4" t="s">
        <v>51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57</v>
      </c>
    </row>
    <row r="2" customFormat="false" ht="15" hidden="false" customHeight="false" outlineLevel="0" collapsed="false">
      <c r="A2" s="5" t="s">
        <v>38</v>
      </c>
      <c r="B2" s="6" t="n">
        <v>60.5300000000002</v>
      </c>
      <c r="C2" s="7" t="n">
        <v>2485.608937</v>
      </c>
      <c r="D2" s="7" t="n">
        <v>2481.5448</v>
      </c>
      <c r="E2" s="6" t="n">
        <v>4.0641370000003</v>
      </c>
      <c r="F2" s="6" t="n">
        <v>55.9656053459119</v>
      </c>
      <c r="G2" s="6" t="n">
        <v>4.56439465408839</v>
      </c>
      <c r="H2" s="6" t="n">
        <v>92.4592852237101</v>
      </c>
      <c r="I2" s="5" t="s">
        <v>58</v>
      </c>
    </row>
    <row r="3" customFormat="false" ht="15" hidden="false" customHeight="false" outlineLevel="0" collapsed="false">
      <c r="A3" s="5" t="s">
        <v>39</v>
      </c>
      <c r="B3" s="6" t="n">
        <v>57.6799999999998</v>
      </c>
      <c r="C3" s="7" t="n">
        <v>2260.932792</v>
      </c>
      <c r="D3" s="7" t="n">
        <v>2232.5</v>
      </c>
      <c r="E3" s="6" t="n">
        <v>28.4327920000001</v>
      </c>
      <c r="F3" s="6" t="n">
        <v>27.4323489361705</v>
      </c>
      <c r="G3" s="6" t="n">
        <v>30.2476510638299</v>
      </c>
      <c r="H3" s="6" t="n">
        <v>47.5595508602124</v>
      </c>
      <c r="I3" s="5" t="s">
        <v>59</v>
      </c>
    </row>
    <row r="4" customFormat="false" ht="15" hidden="false" customHeight="false" outlineLevel="0" collapsed="false">
      <c r="A4" s="5" t="s">
        <v>40</v>
      </c>
      <c r="B4" s="6" t="n">
        <v>44.0799999999999</v>
      </c>
      <c r="C4" s="7" t="n">
        <v>2037.296916</v>
      </c>
      <c r="D4" s="7" t="n">
        <v>2016.054625</v>
      </c>
      <c r="E4" s="6" t="n">
        <v>21.242291</v>
      </c>
      <c r="F4" s="6" t="n">
        <v>21.5417602122015</v>
      </c>
      <c r="G4" s="6" t="n">
        <v>22.5382397877984</v>
      </c>
      <c r="H4" s="6" t="n">
        <v>48.8696919514555</v>
      </c>
      <c r="I4" s="5" t="s">
        <v>59</v>
      </c>
    </row>
    <row r="5" customFormat="false" ht="15" hidden="false" customHeight="false" outlineLevel="0" collapsed="false">
      <c r="A5" s="5" t="s">
        <v>41</v>
      </c>
      <c r="B5" s="6" t="n">
        <v>84.9899999999998</v>
      </c>
      <c r="C5" s="7" t="n">
        <v>2377.245244</v>
      </c>
      <c r="D5" s="7" t="n">
        <v>2374.89</v>
      </c>
      <c r="E5" s="6" t="n">
        <v>2.35524399999986</v>
      </c>
      <c r="F5" s="6" t="n">
        <v>82.381756367663</v>
      </c>
      <c r="G5" s="6" t="n">
        <v>2.6082436323365</v>
      </c>
      <c r="H5" s="6" t="n">
        <v>96.931117034549</v>
      </c>
      <c r="I5" s="5" t="s">
        <v>58</v>
      </c>
    </row>
    <row r="6" customFormat="false" ht="15" hidden="false" customHeight="false" outlineLevel="0" collapsed="false">
      <c r="A6" s="5" t="s">
        <v>42</v>
      </c>
      <c r="B6" s="6" t="n">
        <v>9.59000000000015</v>
      </c>
      <c r="C6" s="7" t="n">
        <v>2227.922437</v>
      </c>
      <c r="D6" s="7" t="n">
        <v>2232.5</v>
      </c>
      <c r="E6" s="6" t="n">
        <v>-4.57756299999983</v>
      </c>
      <c r="F6" s="6" t="n">
        <v>14.4597478723404</v>
      </c>
      <c r="G6" s="6" t="n">
        <v>-4.86974787234024</v>
      </c>
      <c r="H6" s="6" t="n">
        <v>150.779435582275</v>
      </c>
      <c r="I6" s="5" t="s">
        <v>58</v>
      </c>
    </row>
    <row r="7" customFormat="false" ht="15" hidden="false" customHeight="false" outlineLevel="0" collapsed="false">
      <c r="A7" s="5" t="s">
        <v>43</v>
      </c>
      <c r="B7" s="6" t="n">
        <v>49.8000000000002</v>
      </c>
      <c r="C7" s="7" t="n">
        <v>2440.42752</v>
      </c>
      <c r="D7" s="7" t="n">
        <v>2457.945</v>
      </c>
      <c r="E7" s="6" t="n">
        <v>-17.5174799999995</v>
      </c>
      <c r="F7" s="6" t="n">
        <v>69.4274285714286</v>
      </c>
      <c r="G7" s="6" t="n">
        <v>-19.627428571428</v>
      </c>
      <c r="H7" s="6" t="n">
        <v>139.412507171543</v>
      </c>
      <c r="I7" s="5" t="s">
        <v>58</v>
      </c>
    </row>
    <row r="8" customFormat="false" ht="15" hidden="false" customHeight="false" outlineLevel="0" collapsed="false">
      <c r="A8" s="5" t="s">
        <v>44</v>
      </c>
      <c r="B8" s="6" t="n">
        <v>21.3000000000002</v>
      </c>
      <c r="C8" s="7" t="n">
        <v>2392.58283</v>
      </c>
      <c r="D8" s="7" t="n">
        <v>2454.9504</v>
      </c>
      <c r="E8" s="6" t="n">
        <v>-62.3675699999999</v>
      </c>
      <c r="F8" s="6" t="n">
        <v>89.5881528522936</v>
      </c>
      <c r="G8" s="6" t="n">
        <v>-68.2881528522938</v>
      </c>
      <c r="H8" s="6" t="n">
        <v>420.601656583534</v>
      </c>
      <c r="I8" s="5" t="s">
        <v>58</v>
      </c>
    </row>
    <row r="9" customFormat="false" ht="15" hidden="false" customHeight="false" outlineLevel="0" collapsed="false">
      <c r="A9" s="5" t="s">
        <v>45</v>
      </c>
      <c r="B9" s="6" t="n">
        <v>50.27</v>
      </c>
      <c r="C9" s="7" t="n">
        <v>2257.92637</v>
      </c>
      <c r="D9" s="7" t="n">
        <v>2232.5</v>
      </c>
      <c r="E9" s="6" t="n">
        <v>25.4263700000001</v>
      </c>
      <c r="F9" s="6" t="n">
        <v>23.2206702127661</v>
      </c>
      <c r="G9" s="6" t="n">
        <v>27.0493297872342</v>
      </c>
      <c r="H9" s="6" t="n">
        <v>46.1919041431591</v>
      </c>
      <c r="I9" s="5" t="s">
        <v>59</v>
      </c>
    </row>
    <row r="10" customFormat="false" ht="15" hidden="false" customHeight="false" outlineLevel="0" collapsed="false">
      <c r="A10" s="5" t="s">
        <v>46</v>
      </c>
      <c r="B10" s="6" t="n">
        <v>163.17</v>
      </c>
      <c r="C10" s="7" t="n">
        <v>2279.360097</v>
      </c>
      <c r="D10" s="7" t="n">
        <v>2190.405</v>
      </c>
      <c r="E10" s="6" t="n">
        <v>88.955097</v>
      </c>
      <c r="F10" s="6" t="n">
        <v>65.093818081588</v>
      </c>
      <c r="G10" s="6" t="n">
        <v>98.0761819184124</v>
      </c>
      <c r="H10" s="6" t="n">
        <v>39.8932512603959</v>
      </c>
      <c r="I10" s="5" t="s">
        <v>59</v>
      </c>
    </row>
    <row r="11" customFormat="false" ht="15" hidden="false" customHeight="false" outlineLevel="0" collapsed="false">
      <c r="A11" s="5" t="s">
        <v>47</v>
      </c>
      <c r="B11" s="6" t="n">
        <v>96.04</v>
      </c>
      <c r="C11" s="7" t="n">
        <v>2199.419936</v>
      </c>
      <c r="D11" s="7" t="n">
        <v>2190.405</v>
      </c>
      <c r="E11" s="6" t="n">
        <v>9.01493599999958</v>
      </c>
      <c r="F11" s="6" t="n">
        <v>86.1007100330766</v>
      </c>
      <c r="G11" s="6" t="n">
        <v>9.93928996692346</v>
      </c>
      <c r="H11" s="6" t="n">
        <v>89.6508850823372</v>
      </c>
      <c r="I11" s="5" t="s">
        <v>58</v>
      </c>
    </row>
    <row r="12" customFormat="false" ht="15" hidden="false" customHeight="false" outlineLevel="0" collapsed="false">
      <c r="A12" s="5" t="s">
        <v>48</v>
      </c>
      <c r="B12" s="6" t="n">
        <v>46.4200000000001</v>
      </c>
      <c r="C12" s="7" t="n">
        <v>2197.063492</v>
      </c>
      <c r="D12" s="7" t="n">
        <v>2209.725</v>
      </c>
      <c r="E12" s="6" t="n">
        <v>-12.6615079999997</v>
      </c>
      <c r="F12" s="6" t="n">
        <v>60.2577136612022</v>
      </c>
      <c r="G12" s="6" t="n">
        <v>-13.8377136612018</v>
      </c>
      <c r="H12" s="6" t="n">
        <v>129.809809696687</v>
      </c>
      <c r="I12" s="5" t="s">
        <v>58</v>
      </c>
    </row>
    <row r="13" customFormat="false" ht="15" hidden="false" customHeight="false" outlineLevel="0" collapsed="false">
      <c r="A13" s="5" t="s">
        <v>49</v>
      </c>
      <c r="B13" s="6" t="n">
        <v>78.5500000000002</v>
      </c>
      <c r="C13" s="7" t="n">
        <v>2246.15009</v>
      </c>
      <c r="D13" s="7" t="n">
        <v>2190.283425</v>
      </c>
      <c r="E13" s="6" t="n">
        <v>55.866665</v>
      </c>
      <c r="F13" s="6" t="n">
        <v>15.9121874649628</v>
      </c>
      <c r="G13" s="6" t="n">
        <v>62.6378125350376</v>
      </c>
      <c r="H13" s="6" t="n">
        <v>20.2573997007801</v>
      </c>
      <c r="I13" s="5" t="s">
        <v>59</v>
      </c>
    </row>
    <row r="14" customFormat="false" ht="15" hidden="false" customHeight="false" outlineLevel="0" collapsed="false">
      <c r="A14" s="5" t="s">
        <v>50</v>
      </c>
      <c r="B14" s="6" t="n">
        <v>212.18</v>
      </c>
      <c r="C14" s="7" t="n">
        <v>2272.44849</v>
      </c>
      <c r="D14" s="7" t="n">
        <v>2096.2</v>
      </c>
      <c r="E14" s="6" t="n">
        <v>176.24849</v>
      </c>
      <c r="F14" s="6" t="n">
        <v>24.6816063829786</v>
      </c>
      <c r="G14" s="6" t="n">
        <v>187.498393617021</v>
      </c>
      <c r="H14" s="6" t="n">
        <v>11.6323906037226</v>
      </c>
      <c r="I14" s="5" t="s">
        <v>60</v>
      </c>
    </row>
  </sheetData>
  <autoFilter ref="A1:I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5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9" min="8" style="0" width="11"/>
    <col collapsed="false" customWidth="true" hidden="false" outlineLevel="0" max="10" min="10" style="0" width="9"/>
  </cols>
  <sheetData>
    <row r="1" customFormat="false" ht="33.75" hidden="false" customHeight="true" outlineLevel="0" collapsed="false">
      <c r="A1" s="4" t="s">
        <v>25</v>
      </c>
      <c r="B1" s="4" t="s">
        <v>61</v>
      </c>
      <c r="C1" s="4" t="s">
        <v>62</v>
      </c>
      <c r="D1" s="4" t="s">
        <v>63</v>
      </c>
      <c r="E1" s="4" t="s">
        <v>64</v>
      </c>
      <c r="F1" s="4" t="s">
        <v>65</v>
      </c>
      <c r="G1" s="4" t="s">
        <v>66</v>
      </c>
      <c r="H1" s="4" t="s">
        <v>67</v>
      </c>
      <c r="I1" s="4" t="s">
        <v>68</v>
      </c>
      <c r="J1" s="4" t="s">
        <v>69</v>
      </c>
    </row>
    <row r="2" customFormat="false" ht="15" hidden="false" customHeight="false" outlineLevel="0" collapsed="false">
      <c r="A2" s="5" t="s">
        <v>38</v>
      </c>
      <c r="B2" s="8" t="n">
        <v>4.947</v>
      </c>
      <c r="C2" s="9" t="n">
        <v>5.329</v>
      </c>
      <c r="D2" s="7" t="n">
        <v>3039</v>
      </c>
      <c r="E2" s="10" t="n">
        <v>0.00173729512946308</v>
      </c>
      <c r="F2" s="7" t="n">
        <v>5279.6398984383</v>
      </c>
      <c r="G2" s="6" t="n">
        <v>0.62</v>
      </c>
      <c r="H2" s="6" t="n">
        <v>1.4</v>
      </c>
      <c r="I2" s="9" t="n">
        <v>0.852</v>
      </c>
      <c r="J2" s="9" t="n">
        <v>0.8</v>
      </c>
    </row>
    <row r="3" customFormat="false" ht="15" hidden="false" customHeight="false" outlineLevel="0" collapsed="false">
      <c r="A3" s="5" t="s">
        <v>39</v>
      </c>
      <c r="B3" s="8" t="n">
        <v>4.061</v>
      </c>
      <c r="C3" s="9" t="n">
        <v>4.404</v>
      </c>
      <c r="D3" s="7" t="n">
        <v>3127</v>
      </c>
      <c r="E3" s="10" t="n">
        <v>0.00166935231925284</v>
      </c>
      <c r="F3" s="7" t="n">
        <v>5220.06470230363</v>
      </c>
      <c r="G3" s="6" t="n">
        <v>0.21</v>
      </c>
      <c r="H3" s="6" t="n">
        <v>0.5</v>
      </c>
      <c r="I3" s="9" t="n">
        <v>1.037</v>
      </c>
      <c r="J3" s="9" t="n">
        <v>0.8</v>
      </c>
    </row>
    <row r="4" customFormat="false" ht="15" hidden="false" customHeight="false" outlineLevel="0" collapsed="false">
      <c r="A4" s="5" t="s">
        <v>40</v>
      </c>
      <c r="B4" s="8" t="n">
        <v>3.441</v>
      </c>
      <c r="C4" s="9" t="n">
        <v>3.668</v>
      </c>
      <c r="D4" s="7" t="n">
        <v>3081</v>
      </c>
      <c r="E4" s="10" t="n">
        <v>0.00157617732338432</v>
      </c>
      <c r="F4" s="7" t="n">
        <v>4856.20233334707</v>
      </c>
      <c r="G4" s="6" t="n">
        <v>0.95</v>
      </c>
      <c r="H4" s="6" t="n">
        <v>0.5</v>
      </c>
      <c r="I4" s="9" t="n">
        <v>1.459</v>
      </c>
      <c r="J4" s="9" t="n">
        <v>0.8</v>
      </c>
    </row>
    <row r="5" customFormat="false" ht="15" hidden="false" customHeight="false" outlineLevel="0" collapsed="false">
      <c r="A5" s="5" t="s">
        <v>41</v>
      </c>
      <c r="B5" s="8" t="n">
        <v>3.649</v>
      </c>
      <c r="C5" s="9" t="n">
        <v>3.84</v>
      </c>
      <c r="D5" s="7" t="n">
        <v>2755</v>
      </c>
      <c r="E5" s="10" t="n">
        <v>0.00134401968331375</v>
      </c>
      <c r="F5" s="7" t="n">
        <v>3702.77422752938</v>
      </c>
      <c r="G5" s="6" t="n">
        <v>1.33</v>
      </c>
      <c r="H5" s="6" t="n">
        <v>1.2</v>
      </c>
      <c r="I5" s="9" t="n">
        <v>0.148</v>
      </c>
      <c r="J5" s="9" t="n">
        <v>0.8</v>
      </c>
    </row>
    <row r="6" customFormat="false" ht="15" hidden="false" customHeight="false" outlineLevel="0" collapsed="false">
      <c r="A6" s="5" t="s">
        <v>42</v>
      </c>
      <c r="B6" s="8" t="n">
        <v>3.189</v>
      </c>
      <c r="C6" s="9" t="n">
        <v>3.428</v>
      </c>
      <c r="D6" s="7" t="n">
        <v>2733</v>
      </c>
      <c r="E6" s="10" t="n">
        <v>0.00133733681681128</v>
      </c>
      <c r="F6" s="7" t="n">
        <v>3654.94152034522</v>
      </c>
      <c r="G6" s="6" t="n">
        <v>0</v>
      </c>
      <c r="H6" s="6" t="n">
        <v>0.5</v>
      </c>
      <c r="I6" s="9" t="n">
        <v>0.396</v>
      </c>
      <c r="J6" s="9" t="n">
        <v>0.8</v>
      </c>
    </row>
    <row r="7" customFormat="false" ht="15" hidden="false" customHeight="false" outlineLevel="0" collapsed="false">
      <c r="A7" s="5" t="s">
        <v>43</v>
      </c>
      <c r="B7" s="8" t="n">
        <v>5.98</v>
      </c>
      <c r="C7" s="9" t="n">
        <v>5.401</v>
      </c>
      <c r="D7" s="7" t="n">
        <v>2915</v>
      </c>
      <c r="E7" s="10" t="n">
        <v>0.00213281974463229</v>
      </c>
      <c r="F7" s="7" t="n">
        <v>6217.16955560311</v>
      </c>
      <c r="G7" s="6" t="n">
        <v>0.87</v>
      </c>
      <c r="H7" s="6" t="n">
        <v>1</v>
      </c>
      <c r="I7" s="9" t="n">
        <v>0.692</v>
      </c>
      <c r="J7" s="9" t="n">
        <v>0.8</v>
      </c>
    </row>
    <row r="8" customFormat="false" ht="15" hidden="false" customHeight="false" outlineLevel="0" collapsed="false">
      <c r="A8" s="5" t="s">
        <v>44</v>
      </c>
      <c r="B8" s="8" t="n">
        <v>4.133</v>
      </c>
      <c r="C8" s="9" t="n">
        <v>4.658</v>
      </c>
      <c r="D8" s="7" t="n">
        <v>3149</v>
      </c>
      <c r="E8" s="10" t="n">
        <v>0.00152548628797106</v>
      </c>
      <c r="F8" s="7" t="n">
        <v>4803.75632082088</v>
      </c>
      <c r="G8" s="6" t="n">
        <v>3.23</v>
      </c>
      <c r="H8" s="6" t="n">
        <v>1</v>
      </c>
      <c r="I8" s="9" t="n">
        <v>-0.082</v>
      </c>
      <c r="J8" s="9" t="n">
        <v>0.8</v>
      </c>
    </row>
    <row r="9" customFormat="false" ht="15" hidden="false" customHeight="false" outlineLevel="0" collapsed="false">
      <c r="A9" s="5" t="s">
        <v>45</v>
      </c>
      <c r="B9" s="8" t="n">
        <v>3.626</v>
      </c>
      <c r="C9" s="9" t="n">
        <v>3.617</v>
      </c>
      <c r="D9" s="7" t="n">
        <v>3158</v>
      </c>
      <c r="E9" s="10" t="n">
        <v>0.0014950912681887</v>
      </c>
      <c r="F9" s="7" t="n">
        <v>4721.4982249399</v>
      </c>
      <c r="G9" s="6" t="n">
        <v>0.54</v>
      </c>
      <c r="H9" s="6" t="n">
        <v>0.5</v>
      </c>
      <c r="I9" s="9" t="n">
        <v>0.078</v>
      </c>
      <c r="J9" s="9" t="n">
        <v>0.8</v>
      </c>
    </row>
    <row r="10" customFormat="false" ht="15" hidden="false" customHeight="false" outlineLevel="0" collapsed="false">
      <c r="A10" s="5" t="s">
        <v>46</v>
      </c>
      <c r="B10" s="8" t="n">
        <v>3.947</v>
      </c>
      <c r="C10" s="9" t="n">
        <v>4.202</v>
      </c>
      <c r="D10" s="7" t="n">
        <v>2940</v>
      </c>
      <c r="E10" s="10" t="n">
        <v>0.0015309308540554</v>
      </c>
      <c r="F10" s="7" t="n">
        <v>4500.93671092286</v>
      </c>
      <c r="G10" s="6" t="n">
        <v>1.64</v>
      </c>
      <c r="H10" s="6" t="n">
        <v>0.5</v>
      </c>
      <c r="I10" s="9" t="n">
        <v>1.924</v>
      </c>
      <c r="J10" s="9" t="n">
        <v>0.8</v>
      </c>
    </row>
    <row r="11" customFormat="false" ht="15" hidden="false" customHeight="false" outlineLevel="0" collapsed="false">
      <c r="A11" s="5" t="s">
        <v>47</v>
      </c>
      <c r="B11" s="8" t="n">
        <v>4.134</v>
      </c>
      <c r="C11" s="9" t="n">
        <v>5.53</v>
      </c>
      <c r="D11" s="7" t="n">
        <v>3268</v>
      </c>
      <c r="E11" s="10" t="n">
        <v>0.00164632980756977</v>
      </c>
      <c r="F11" s="7" t="n">
        <v>5380.20581113802</v>
      </c>
      <c r="G11" s="6" t="n">
        <v>2.87</v>
      </c>
      <c r="H11" s="6" t="n">
        <v>0.5</v>
      </c>
      <c r="I11" s="9" t="n">
        <v>1.451</v>
      </c>
      <c r="J11" s="9" t="n">
        <v>0.8</v>
      </c>
    </row>
    <row r="12" customFormat="false" ht="15" hidden="false" customHeight="false" outlineLevel="0" collapsed="false">
      <c r="A12" s="5" t="s">
        <v>48</v>
      </c>
      <c r="B12" s="8" t="n">
        <v>4.133</v>
      </c>
      <c r="C12" s="9" t="n">
        <v>5.393</v>
      </c>
      <c r="D12" s="7" t="n">
        <v>3270</v>
      </c>
      <c r="E12" s="10" t="n">
        <v>0.00167911205726776</v>
      </c>
      <c r="F12" s="7" t="n">
        <v>5490.69642726556</v>
      </c>
      <c r="G12" s="6" t="n">
        <v>0.25</v>
      </c>
      <c r="H12" s="6" t="n">
        <v>0.5</v>
      </c>
      <c r="I12" s="9" t="n">
        <v>0.62</v>
      </c>
      <c r="J12" s="9" t="n">
        <v>0.8</v>
      </c>
    </row>
    <row r="13" customFormat="false" ht="15" hidden="false" customHeight="false" outlineLevel="0" collapsed="false">
      <c r="A13" s="5" t="s">
        <v>49</v>
      </c>
      <c r="B13" s="8" t="n">
        <v>3.52</v>
      </c>
      <c r="C13" s="9" t="n">
        <v>3.703</v>
      </c>
      <c r="D13" s="7" t="n">
        <v>2767</v>
      </c>
      <c r="E13" s="10" t="n">
        <v>0.00138894369253837</v>
      </c>
      <c r="F13" s="7" t="n">
        <v>3843.20719725368</v>
      </c>
      <c r="G13" s="6" t="n">
        <v>1.73</v>
      </c>
      <c r="H13" s="6" t="n">
        <v>2.81</v>
      </c>
      <c r="I13" s="9" t="n">
        <v>0.809</v>
      </c>
      <c r="J13" s="9" t="n">
        <v>0.8</v>
      </c>
    </row>
    <row r="14" customFormat="false" ht="15" hidden="false" customHeight="false" outlineLevel="0" collapsed="false">
      <c r="A14" s="5" t="s">
        <v>50</v>
      </c>
      <c r="B14" s="8" t="n">
        <v>3.284</v>
      </c>
      <c r="C14" s="9" t="n">
        <v>3.378</v>
      </c>
      <c r="D14" s="7" t="n">
        <v>3061</v>
      </c>
      <c r="E14" s="10" t="n">
        <v>0.00134470022684651</v>
      </c>
      <c r="F14" s="7" t="n">
        <v>4116.12739437716</v>
      </c>
      <c r="G14" s="6" t="n">
        <v>0.41</v>
      </c>
      <c r="H14" s="6" t="n">
        <v>0.5</v>
      </c>
      <c r="I14" s="9" t="n">
        <v>0.49</v>
      </c>
      <c r="J14" s="9" t="n">
        <v>0.8</v>
      </c>
    </row>
  </sheetData>
  <autoFilter ref="A1:J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5" min="4" style="0" width="16"/>
    <col collapsed="false" customWidth="true" hidden="false" outlineLevel="0" max="6" min="6" style="0" width="17"/>
  </cols>
  <sheetData>
    <row r="1" customFormat="false" ht="33.75" hidden="false" customHeight="true" outlineLevel="0" collapsed="false">
      <c r="A1" s="4" t="s">
        <v>25</v>
      </c>
      <c r="B1" s="4" t="s">
        <v>70</v>
      </c>
      <c r="C1" s="4" t="s">
        <v>71</v>
      </c>
      <c r="D1" s="4" t="s">
        <v>72</v>
      </c>
      <c r="E1" s="4" t="s">
        <v>73</v>
      </c>
      <c r="F1" s="4" t="s">
        <v>74</v>
      </c>
    </row>
    <row r="2" customFormat="false" ht="15" hidden="false" customHeight="false" outlineLevel="0" collapsed="false">
      <c r="A2" s="5" t="s">
        <v>38</v>
      </c>
      <c r="B2" s="6" t="n">
        <v>0.931704081291509</v>
      </c>
      <c r="C2" s="6" t="n">
        <v>1.77625</v>
      </c>
      <c r="D2" s="6" t="n">
        <v>0.878710875</v>
      </c>
      <c r="E2" s="6" t="n">
        <v>0</v>
      </c>
      <c r="F2" s="6" t="n">
        <v>11.1804489754981</v>
      </c>
    </row>
    <row r="3" customFormat="false" ht="15" hidden="false" customHeight="false" outlineLevel="0" collapsed="false">
      <c r="A3" s="5" t="s">
        <v>39</v>
      </c>
      <c r="B3" s="6" t="n">
        <v>4.93679444402057</v>
      </c>
      <c r="C3" s="6" t="n">
        <v>5.847278</v>
      </c>
      <c r="D3" s="6" t="n">
        <v>2.3745795958</v>
      </c>
      <c r="E3" s="6" t="n">
        <v>0</v>
      </c>
      <c r="F3" s="6" t="n">
        <v>59.2415333282469</v>
      </c>
    </row>
    <row r="4" customFormat="false" ht="15" hidden="false" customHeight="false" outlineLevel="0" collapsed="false">
      <c r="A4" s="5" t="s">
        <v>40</v>
      </c>
      <c r="B4" s="6" t="n">
        <v>2.17285173247585</v>
      </c>
      <c r="C4" s="6" t="n">
        <v>3.116709</v>
      </c>
      <c r="D4" s="6" t="n">
        <v>1.0724595669</v>
      </c>
      <c r="E4" s="6" t="n">
        <v>7.8819</v>
      </c>
      <c r="F4" s="6" t="n">
        <v>26.0742207897101</v>
      </c>
    </row>
    <row r="5" customFormat="false" ht="15" hidden="false" customHeight="false" outlineLevel="0" collapsed="false">
      <c r="A5" s="5" t="s">
        <v>41</v>
      </c>
      <c r="B5" s="6" t="n">
        <v>3.42193517253101</v>
      </c>
      <c r="C5" s="6" t="n">
        <v>9.376006</v>
      </c>
      <c r="D5" s="6" t="n">
        <v>3.4213045894</v>
      </c>
      <c r="E5" s="6" t="n">
        <v>21.7479</v>
      </c>
      <c r="F5" s="6" t="n">
        <v>41.0632220703722</v>
      </c>
    </row>
    <row r="6" customFormat="false" ht="15" hidden="false" customHeight="false" outlineLevel="0" collapsed="false">
      <c r="A6" s="5" t="s">
        <v>42</v>
      </c>
      <c r="B6" s="6" t="n">
        <v>0.358332178445776</v>
      </c>
      <c r="C6" s="6" t="n">
        <v>1.704585</v>
      </c>
      <c r="D6" s="6" t="n">
        <v>0.5435921565</v>
      </c>
      <c r="E6" s="6" t="n">
        <v>0</v>
      </c>
      <c r="F6" s="6" t="n">
        <v>4.29998614134931</v>
      </c>
    </row>
    <row r="7" customFormat="false" ht="15" hidden="false" customHeight="false" outlineLevel="0" collapsed="false">
      <c r="A7" s="5" t="s">
        <v>43</v>
      </c>
      <c r="B7" s="6" t="n">
        <v>2.44898595762894</v>
      </c>
      <c r="C7" s="6" t="n">
        <v>5.854511</v>
      </c>
      <c r="D7" s="6" t="n">
        <v>3.500997578</v>
      </c>
      <c r="E7" s="6" t="n">
        <v>0</v>
      </c>
      <c r="F7" s="6" t="n">
        <v>29.3878314915473</v>
      </c>
    </row>
    <row r="8" customFormat="false" ht="15" hidden="false" customHeight="false" outlineLevel="0" collapsed="false">
      <c r="A8" s="5" t="s">
        <v>44</v>
      </c>
      <c r="B8" s="6" t="n">
        <v>2.18793908182927</v>
      </c>
      <c r="C8" s="6" t="n">
        <v>23.0275</v>
      </c>
      <c r="D8" s="6" t="n">
        <v>9.51726575</v>
      </c>
      <c r="E8" s="6" t="n">
        <v>23.9362</v>
      </c>
      <c r="F8" s="6" t="n">
        <v>26.2552689819513</v>
      </c>
    </row>
    <row r="9" customFormat="false" ht="15" hidden="false" customHeight="false" outlineLevel="0" collapsed="false">
      <c r="A9" s="5" t="s">
        <v>45</v>
      </c>
      <c r="B9" s="6" t="n">
        <v>3.40699808912822</v>
      </c>
      <c r="C9" s="6" t="n">
        <v>4.38201</v>
      </c>
      <c r="D9" s="6" t="n">
        <v>1.588916826</v>
      </c>
      <c r="E9" s="6" t="n">
        <v>11.748</v>
      </c>
      <c r="F9" s="6" t="n">
        <v>40.8839770695386</v>
      </c>
    </row>
    <row r="10" customFormat="false" ht="15" hidden="false" customHeight="false" outlineLevel="0" collapsed="false">
      <c r="A10" s="5" t="s">
        <v>46</v>
      </c>
      <c r="B10" s="6" t="n">
        <v>5.41395847413864</v>
      </c>
      <c r="C10" s="6" t="n">
        <v>5.613935</v>
      </c>
      <c r="D10" s="6" t="n">
        <v>2.2158201445</v>
      </c>
      <c r="E10" s="6" t="n">
        <v>5.7366</v>
      </c>
      <c r="F10" s="6" t="n">
        <v>64.9675016896636</v>
      </c>
    </row>
    <row r="11" customFormat="false" ht="15" hidden="false" customHeight="false" outlineLevel="0" collapsed="false">
      <c r="A11" s="5" t="s">
        <v>47</v>
      </c>
      <c r="B11" s="6" t="n">
        <v>3.49936830776093</v>
      </c>
      <c r="C11" s="6" t="n">
        <v>7.858348</v>
      </c>
      <c r="D11" s="6" t="n">
        <v>3.2486410632</v>
      </c>
      <c r="E11" s="6" t="n">
        <v>1.5292</v>
      </c>
      <c r="F11" s="6" t="n">
        <v>41.9924196931311</v>
      </c>
    </row>
    <row r="12" customFormat="false" ht="15" hidden="false" customHeight="false" outlineLevel="0" collapsed="false">
      <c r="A12" s="5" t="s">
        <v>48</v>
      </c>
      <c r="B12" s="6" t="n">
        <v>1.01265340702521</v>
      </c>
      <c r="C12" s="6" t="n">
        <v>3.260544</v>
      </c>
      <c r="D12" s="6" t="n">
        <v>1.3475828352</v>
      </c>
      <c r="E12" s="6" t="n">
        <v>0</v>
      </c>
      <c r="F12" s="6" t="n">
        <v>12.1518408843026</v>
      </c>
    </row>
    <row r="13" customFormat="false" ht="15" hidden="false" customHeight="false" outlineLevel="0" collapsed="false">
      <c r="A13" s="5" t="s">
        <v>49</v>
      </c>
      <c r="B13" s="6" t="n">
        <v>0.947874067000752</v>
      </c>
      <c r="C13" s="6" t="n">
        <v>0.549135999999999</v>
      </c>
      <c r="D13" s="6" t="n">
        <v>0.193295872</v>
      </c>
      <c r="E13" s="6" t="n">
        <v>0.251</v>
      </c>
      <c r="F13" s="6" t="n">
        <v>11.374488804009</v>
      </c>
    </row>
    <row r="14" customFormat="false" ht="15" hidden="false" customHeight="false" outlineLevel="0" collapsed="false">
      <c r="A14" s="5" t="s">
        <v>50</v>
      </c>
      <c r="B14" s="6" t="n">
        <v>25.6144678107265</v>
      </c>
      <c r="C14" s="6" t="n">
        <v>9.1656</v>
      </c>
      <c r="D14" s="6" t="n">
        <v>3.00998304</v>
      </c>
      <c r="E14" s="6" t="n">
        <v>28.0371</v>
      </c>
      <c r="F14" s="6" t="n">
        <v>307.373613728718</v>
      </c>
    </row>
    <row r="15" customFormat="false" ht="15" hidden="false" customHeight="false" outlineLevel="0" collapsed="false">
      <c r="A15" s="2" t="s">
        <v>75</v>
      </c>
      <c r="B15" s="11" t="n">
        <f aca="false">SUM(B2:B14)</f>
        <v>56.3538628040031</v>
      </c>
      <c r="C15" s="11" t="n">
        <f aca="false">SUM(C2:C14)</f>
        <v>81.532412</v>
      </c>
      <c r="D15" s="11" t="n">
        <f aca="false">SUM(D2:D14)</f>
        <v>32.9131498925</v>
      </c>
      <c r="E15" s="11" t="n">
        <f aca="false">SUM(E2:E14)</f>
        <v>100.8679</v>
      </c>
      <c r="F15" s="11" t="n">
        <f aca="false">SUM(F2:F14)</f>
        <v>676.246353648038</v>
      </c>
    </row>
  </sheetData>
  <autoFilter ref="A1:F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2026-08-05T19:39:55Z</dcterms:created>
  <dc:creator>openpyxl</dc:creator>
  <dc:description/>
  <dc:language>en-US</dc:language>
  <cp:lastModifiedBy/>
  <dcterms:modified xsi:type="dcterms:W3CDTF">2026-08-05T19:39:55Z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